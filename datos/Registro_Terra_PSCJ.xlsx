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piedades" sheetId="2" state="visible" r:id="rId2"/>
    <sheet xmlns:r="http://schemas.openxmlformats.org/officeDocument/2006/relationships" name="Historial" sheetId="3" state="visible" r:id="rId3"/>
  </sheets>
  <definedNames>
    <definedName name="_xlnm._FilterDatabase" localSheetId="1" hidden="1">'Propiedades'!$A$1:$J$7</definedName>
    <definedName name="_xlnm._FilterDatabase" localSheetId="2" hidden="1">'Historial'!$A$1:$C$1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D2A4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0D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Terra PSCJ · Registro de gestión</t>
        </is>
      </c>
    </row>
    <row r="2">
      <c r="A2" t="inlineStr">
        <is>
          <t>Generado: 2026-09-30 20:32</t>
        </is>
      </c>
    </row>
    <row r="4">
      <c r="A4" s="2" t="inlineStr">
        <is>
          <t>Propiedades registradas</t>
        </is>
      </c>
      <c r="B4">
        <f>COUNTA(Propiedades!A2:A2000)</f>
        <v/>
      </c>
    </row>
    <row r="5">
      <c r="A5" s="2" t="inlineStr">
        <is>
          <t>Disponibles</t>
        </is>
      </c>
      <c r="B5">
        <f>COUNTIF(Propiedades!I2:I2000,"Disponible")</f>
        <v/>
      </c>
    </row>
    <row r="6">
      <c r="A6" s="2" t="inlineStr">
        <is>
          <t>Reservadas</t>
        </is>
      </c>
      <c r="B6">
        <f>COUNTIF(Propiedades!I2:I2000,"Reservada")</f>
        <v/>
      </c>
    </row>
    <row r="7">
      <c r="A7" s="2" t="inlineStr">
        <is>
          <t>Vendidas</t>
        </is>
      </c>
      <c r="B7">
        <f>COUNTIF(Propiedades!I2:I2000,"Vendida")</f>
        <v/>
      </c>
    </row>
    <row r="8">
      <c r="A8" s="2" t="inlineStr">
        <is>
          <t>Valor del inventario disponible (COP)</t>
        </is>
      </c>
      <c r="B8" s="3">
        <f>SUMIF(Propiedades!I2:I2000,"Disponible",Propiedades!F2:F2000)</f>
        <v/>
      </c>
    </row>
    <row r="9">
      <c r="A9" s="2" t="inlineStr">
        <is>
          <t>Cambios registrados</t>
        </is>
      </c>
      <c r="B9">
        <f>COUNTA(Historial!A2:A2000)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24" customWidth="1" min="4" max="4"/>
    <col width="10" customWidth="1" min="5" max="5"/>
    <col width="16" customWidth="1" min="6" max="6"/>
    <col width="13" customWidth="1" min="7" max="7"/>
    <col width="46" customWidth="1" min="8" max="8"/>
    <col width="13" customWidth="1" min="9" max="9"/>
    <col width="11" customWidth="1" min="10" max="10"/>
  </cols>
  <sheetData>
    <row r="1" ht="24" customHeight="1">
      <c r="A1" s="4" t="inlineStr">
        <is>
          <t>ID</t>
        </is>
      </c>
      <c r="B1" s="4" t="inlineStr">
        <is>
          <t>Título</t>
        </is>
      </c>
      <c r="C1" s="4" t="inlineStr">
        <is>
          <t>Tipo</t>
        </is>
      </c>
      <c r="D1" s="4" t="inlineStr">
        <is>
          <t>Ubicación</t>
        </is>
      </c>
      <c r="E1" s="4" t="inlineStr">
        <is>
          <t>Área m²</t>
        </is>
      </c>
      <c r="F1" s="4" t="inlineStr">
        <is>
          <t>Precio COP</t>
        </is>
      </c>
      <c r="G1" s="4" t="inlineStr">
        <is>
          <t>Habitaciones</t>
        </is>
      </c>
      <c r="H1" s="4" t="inlineStr">
        <is>
          <t>Descripción</t>
        </is>
      </c>
      <c r="I1" s="4" t="inlineStr">
        <is>
          <t>Estado</t>
        </is>
      </c>
      <c r="J1" s="4" t="inlineStr">
        <is>
          <t>Publicada</t>
        </is>
      </c>
    </row>
    <row r="2">
      <c r="A2" t="n">
        <v>1</v>
      </c>
      <c r="B2" t="inlineStr">
        <is>
          <t>Finca con piscina y jardines</t>
        </is>
      </c>
      <c r="C2" t="inlineStr">
        <is>
          <t>Finca</t>
        </is>
      </c>
      <c r="D2" t="inlineStr">
        <is>
          <t>Oriente Antioqueño</t>
        </is>
      </c>
      <c r="F2" s="3" t="n"/>
      <c r="H2" t="inlineStr"/>
      <c r="I2" t="inlineStr">
        <is>
          <t>Disponible</t>
        </is>
      </c>
      <c r="J2" t="inlineStr">
        <is>
          <t>Sí</t>
        </is>
      </c>
    </row>
    <row r="3">
      <c r="A3" t="n">
        <v>2</v>
      </c>
      <c r="B3" t="inlineStr">
        <is>
          <t>Casa moderna con jardín</t>
        </is>
      </c>
      <c r="C3" t="inlineStr">
        <is>
          <t>Casa</t>
        </is>
      </c>
      <c r="D3" t="inlineStr">
        <is>
          <t>Oriente Antioqueño</t>
        </is>
      </c>
      <c r="F3" s="3" t="n"/>
      <c r="H3" t="inlineStr"/>
      <c r="I3" t="inlineStr">
        <is>
          <t>Disponible</t>
        </is>
      </c>
      <c r="J3" t="inlineStr">
        <is>
          <t>Sí</t>
        </is>
      </c>
    </row>
    <row r="4">
      <c r="A4" t="n">
        <v>3</v>
      </c>
      <c r="B4" t="inlineStr">
        <is>
          <t>Casa campestre con amplias zonas verdes</t>
        </is>
      </c>
      <c r="C4" t="inlineStr">
        <is>
          <t>Finca</t>
        </is>
      </c>
      <c r="D4" t="inlineStr">
        <is>
          <t>Oriente Antioqueño</t>
        </is>
      </c>
      <c r="F4" s="3" t="n"/>
      <c r="H4" t="inlineStr"/>
      <c r="I4" t="inlineStr">
        <is>
          <t>Disponible</t>
        </is>
      </c>
      <c r="J4" t="inlineStr">
        <is>
          <t>Sí</t>
        </is>
      </c>
    </row>
    <row r="5">
      <c r="A5" t="n">
        <v>4</v>
      </c>
      <c r="B5" t="inlineStr">
        <is>
          <t>Casa con salón panorámico</t>
        </is>
      </c>
      <c r="C5" t="inlineStr">
        <is>
          <t>Casa</t>
        </is>
      </c>
      <c r="D5" t="inlineStr">
        <is>
          <t>Oriente Antioqueño</t>
        </is>
      </c>
      <c r="F5" s="3" t="n"/>
      <c r="H5" t="inlineStr"/>
      <c r="I5" t="inlineStr">
        <is>
          <t>Disponible</t>
        </is>
      </c>
      <c r="J5" t="inlineStr">
        <is>
          <t>Sí</t>
        </is>
      </c>
    </row>
    <row r="6">
      <c r="A6" t="n">
        <v>5</v>
      </c>
      <c r="B6" t="inlineStr">
        <is>
          <t>Casa de campo con zona verde</t>
        </is>
      </c>
      <c r="C6" t="inlineStr">
        <is>
          <t>Finca</t>
        </is>
      </c>
      <c r="D6" t="inlineStr">
        <is>
          <t>Oriente Antioqueño</t>
        </is>
      </c>
      <c r="F6" s="3" t="n"/>
      <c r="H6" t="inlineStr"/>
      <c r="I6" t="inlineStr">
        <is>
          <t>Disponible</t>
        </is>
      </c>
      <c r="J6" t="inlineStr">
        <is>
          <t>Sí</t>
        </is>
      </c>
    </row>
    <row r="7">
      <c r="A7" t="n">
        <v>6</v>
      </c>
      <c r="B7" t="inlineStr">
        <is>
          <t>Lote con arborización</t>
        </is>
      </c>
      <c r="C7" t="inlineStr">
        <is>
          <t>Lote</t>
        </is>
      </c>
      <c r="D7" t="inlineStr">
        <is>
          <t>Oriente Antioqueño</t>
        </is>
      </c>
      <c r="F7" s="3" t="n"/>
      <c r="H7" t="inlineStr"/>
      <c r="I7" t="inlineStr">
        <is>
          <t>Disponible</t>
        </is>
      </c>
      <c r="J7" t="inlineStr">
        <is>
          <t>Sí</t>
        </is>
      </c>
    </row>
  </sheetData>
  <autoFilter ref="A1:J7"/>
  <dataValidations count="1">
    <dataValidation sqref="I2:I2000" showDropDown="0" showInputMessage="0" showErrorMessage="0" allowBlank="1" type="list">
      <formula1>"Disponible,Reservada,Vendida"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</cols>
  <sheetData>
    <row r="1" ht="24" customHeight="1">
      <c r="A1" s="4" t="inlineStr">
        <is>
          <t>Fecha</t>
        </is>
      </c>
      <c r="B1" s="4" t="inlineStr">
        <is>
          <t>Quién</t>
        </is>
      </c>
      <c r="C1" s="4" t="inlineStr">
        <is>
          <t>Cambio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2026-09-30T20:32:02Z</dcterms:created>
  <dcterms:modified xmlns:dcterms="http://purl.org/dc/terms/" xmlns:xsi="http://www.w3.org/2001/XMLSchema-instance" xsi:type="dcterms:W3CDTF">2026-09-30T20:32:02Z</dcterms:modified>
</cp:coreProperties>
</file>